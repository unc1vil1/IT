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2290" windowHeight="114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1" l="1"/>
  <c r="D22" i="1"/>
  <c r="C22" i="1"/>
  <c r="E21" i="1"/>
  <c r="D21" i="1"/>
  <c r="C21" i="1"/>
  <c r="E20" i="1"/>
  <c r="D20" i="1"/>
  <c r="C20" i="1"/>
  <c r="G19" i="1"/>
  <c r="E19" i="1"/>
  <c r="D19" i="1"/>
  <c r="C19" i="1"/>
  <c r="E18" i="1"/>
  <c r="D18" i="1"/>
  <c r="C18" i="1"/>
  <c r="E17" i="1"/>
  <c r="D17" i="1"/>
  <c r="C17" i="1"/>
  <c r="I16" i="1"/>
  <c r="H16" i="1"/>
  <c r="G16" i="1"/>
  <c r="F16" i="1"/>
  <c r="G15" i="1"/>
  <c r="I15" i="1" s="1"/>
  <c r="F15" i="1"/>
  <c r="G14" i="1"/>
  <c r="I14" i="1" s="1"/>
  <c r="F14" i="1"/>
  <c r="G13" i="1"/>
  <c r="I13" i="1" s="1"/>
  <c r="F13" i="1"/>
  <c r="I12" i="1"/>
  <c r="H12" i="1"/>
  <c r="G12" i="1"/>
  <c r="F12" i="1"/>
  <c r="G11" i="1"/>
  <c r="I11" i="1" s="1"/>
  <c r="F11" i="1"/>
  <c r="G10" i="1"/>
  <c r="I10" i="1" s="1"/>
  <c r="F10" i="1"/>
  <c r="G9" i="1"/>
  <c r="I9" i="1" s="1"/>
  <c r="F9" i="1"/>
  <c r="I8" i="1"/>
  <c r="H8" i="1"/>
  <c r="G8" i="1"/>
  <c r="F8" i="1"/>
  <c r="G7" i="1"/>
  <c r="I7" i="1" s="1"/>
  <c r="F7" i="1"/>
  <c r="G6" i="1"/>
  <c r="I6" i="1" s="1"/>
  <c r="F6" i="1"/>
  <c r="G5" i="1"/>
  <c r="G17" i="1" s="1"/>
  <c r="F5" i="1"/>
  <c r="F17" i="1" s="1"/>
  <c r="I4" i="1"/>
  <c r="H4" i="1"/>
  <c r="G4" i="1"/>
  <c r="F4" i="1"/>
  <c r="G3" i="1"/>
  <c r="I3" i="1" s="1"/>
  <c r="F3" i="1"/>
  <c r="G2" i="1"/>
  <c r="G22" i="1" s="1"/>
  <c r="F2" i="1"/>
  <c r="F19" i="1" s="1"/>
  <c r="F20" i="1" l="1"/>
  <c r="H2" i="1"/>
  <c r="H14" i="1"/>
  <c r="F18" i="1"/>
  <c r="G18" i="1"/>
  <c r="H15" i="1"/>
  <c r="H5" i="1"/>
  <c r="H9" i="1"/>
  <c r="H13" i="1"/>
  <c r="I5" i="1"/>
  <c r="H6" i="1"/>
  <c r="I2" i="1"/>
  <c r="G20" i="1"/>
  <c r="H10" i="1"/>
  <c r="F21" i="1"/>
  <c r="G21" i="1"/>
  <c r="H3" i="1"/>
  <c r="H7" i="1"/>
  <c r="H11" i="1"/>
  <c r="F22" i="1"/>
</calcChain>
</file>

<file path=xl/sharedStrings.xml><?xml version="1.0" encoding="utf-8"?>
<sst xmlns="http://schemas.openxmlformats.org/spreadsheetml/2006/main" count="30" uniqueCount="30">
  <si>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</si>
  <si>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</si>
  <si>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</si>
  <si>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</si>
  <si>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</si>
  <si>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</si>
  <si>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</si>
  <si>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</si>
  <si>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</si>
  <si>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И.И.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</si>
  <si>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</si>
  <si>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</si>
  <si>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</si>
  <si>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</si>
  <si>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</si>
  <si>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</si>
  <si>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</si>
  <si>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</si>
  <si>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</si>
  <si>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</si>
  <si>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</si>
  <si>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</si>
  <si>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</si>
  <si>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</si>
  <si>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Сумма</t>
  </si>
  <si>
    <t>Среднее</t>
  </si>
  <si>
    <t>Медиана</t>
  </si>
  <si>
    <t>Мода</t>
  </si>
  <si>
    <t>Минимум</t>
  </si>
  <si>
    <t>Максимум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</si>
</sst>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1F497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right" vertical="center"/>
    </xf>
    <xf numFmtId="0" fontId="2" fillId="0" borderId="1" xfId="0" applyFont="1" applyBorder="1"/>
    <xf numFmtId="1" fontId="0" fillId="0" borderId="1" xfId="0" applyNumberForma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J8" sqref="J8"/>
    </sheetView>
  </sheetViews>
  <sheetFormatPr defaultRowHeight="15" x14ac:dyDescent="0.25"/>
  <cols>
    <col min="2" max="2" width="14.85546875" bestFit="1" customWidth="1"/>
    <col min="3" max="3" width="11.7109375" bestFit="1" customWidth="1"/>
    <col min="4" max="4" width="16.5703125" bestFit="1" customWidth="1"/>
    <col min="5" max="5" width="14.5703125" bestFit="1" customWidth="1"/>
    <col min="6" max="6" width="13.7109375" bestFit="1" customWidth="1"/>
    <col min="7" max="7" width="13.28515625" bestFit="1" customWidth="1"/>
    <col min="8" max="8" width="7.5703125" bestFit="1" customWidth="1"/>
  </cols>
  <sheetData>
    <row r="1" spans="1: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1">
        <v>1</v>
      </c>
      <c r="B2" s="2" t="s">
        <v>9</v>
      </c>
      <c r="C2" s="3">
        <v>85</v>
      </c>
      <c r="D2" s="3">
        <v>78</v>
      </c>
      <c r="E2" s="3">
        <v>92</v>
      </c>
      <c r="F2" s="3">
        <f t="shared" ref="F2:F16" si="0">SUM(C2:E2)</f>
        <v>255</v>
      </c>
      <c r="G2" s="3">
        <f t="shared" ref="G2:G16" si="1">AVERAGE(C2:E2)</f>
        <v>85</v>
      </c>
      <c r="H2" s="1">
        <f t="shared" ref="H2:H16" si="2">IF(G2&gt;=90, 5, IF(G2&gt;=75, 4, IF(G2&gt;=60, 3, 2)))</f>
        <v>4</v>
      </c>
      <c r="I2" s="1">
        <f t="shared" ref="I2:I16" si="3">RANK(G2, $G$2:$G$16)</f>
        <v>6</v>
      </c>
    </row>
    <row r="3" spans="1:9" x14ac:dyDescent="0.25">
      <c r="A3" s="1">
        <v>2</v>
      </c>
      <c r="B3" s="2" t="s">
        <v>10</v>
      </c>
      <c r="C3" s="3">
        <v>72</v>
      </c>
      <c r="D3" s="3">
        <v>65</v>
      </c>
      <c r="E3" s="3">
        <v>80</v>
      </c>
      <c r="F3" s="3">
        <f t="shared" si="0"/>
        <v>217</v>
      </c>
      <c r="G3" s="3">
        <f t="shared" si="1"/>
        <v>72.333333333333329</v>
      </c>
      <c r="H3" s="1">
        <f t="shared" si="2"/>
        <v>3</v>
      </c>
      <c r="I3" s="1">
        <f t="shared" si="3"/>
        <v>10</v>
      </c>
    </row>
    <row r="4" spans="1:9" x14ac:dyDescent="0.25">
      <c r="A4" s="1">
        <v>3</v>
      </c>
      <c r="B4" s="2" t="s">
        <v>11</v>
      </c>
      <c r="C4" s="3">
        <v>95</v>
      </c>
      <c r="D4" s="3">
        <v>88</v>
      </c>
      <c r="E4" s="3">
        <v>98</v>
      </c>
      <c r="F4" s="3">
        <f t="shared" si="0"/>
        <v>281</v>
      </c>
      <c r="G4" s="3">
        <f t="shared" si="1"/>
        <v>93.666666666666671</v>
      </c>
      <c r="H4" s="1">
        <f t="shared" si="2"/>
        <v>5</v>
      </c>
      <c r="I4" s="1">
        <f t="shared" si="3"/>
        <v>2</v>
      </c>
    </row>
    <row r="5" spans="1:9" x14ac:dyDescent="0.25">
      <c r="A5" s="1">
        <v>4</v>
      </c>
      <c r="B5" s="2" t="s">
        <v>12</v>
      </c>
      <c r="C5" s="3">
        <v>65</v>
      </c>
      <c r="D5" s="3">
        <v>55</v>
      </c>
      <c r="E5" s="3">
        <v>70</v>
      </c>
      <c r="F5" s="3">
        <f t="shared" si="0"/>
        <v>190</v>
      </c>
      <c r="G5" s="3">
        <f t="shared" si="1"/>
        <v>63.333333333333336</v>
      </c>
      <c r="H5" s="1">
        <f t="shared" si="2"/>
        <v>3</v>
      </c>
      <c r="I5" s="1">
        <f t="shared" si="3"/>
        <v>13</v>
      </c>
    </row>
    <row r="6" spans="1:9" x14ac:dyDescent="0.25">
      <c r="A6" s="1">
        <v>5</v>
      </c>
      <c r="B6" s="2" t="s">
        <v>13</v>
      </c>
      <c r="C6" s="3">
        <v>78</v>
      </c>
      <c r="D6" s="3">
        <v>82</v>
      </c>
      <c r="E6" s="3">
        <v>85</v>
      </c>
      <c r="F6" s="3">
        <f t="shared" si="0"/>
        <v>245</v>
      </c>
      <c r="G6" s="3">
        <f t="shared" si="1"/>
        <v>81.666666666666671</v>
      </c>
      <c r="H6" s="1">
        <f t="shared" si="2"/>
        <v>4</v>
      </c>
      <c r="I6" s="1">
        <f t="shared" si="3"/>
        <v>7</v>
      </c>
    </row>
    <row r="7" spans="1:9" x14ac:dyDescent="0.25">
      <c r="A7" s="1">
        <v>6</v>
      </c>
      <c r="B7" s="2" t="s">
        <v>14</v>
      </c>
      <c r="C7" s="3">
        <v>88</v>
      </c>
      <c r="D7" s="3">
        <v>90</v>
      </c>
      <c r="E7" s="3">
        <v>95</v>
      </c>
      <c r="F7" s="3">
        <f t="shared" si="0"/>
        <v>273</v>
      </c>
      <c r="G7" s="3">
        <f t="shared" si="1"/>
        <v>91</v>
      </c>
      <c r="H7" s="1">
        <f t="shared" si="2"/>
        <v>5</v>
      </c>
      <c r="I7" s="1">
        <f t="shared" si="3"/>
        <v>4</v>
      </c>
    </row>
    <row r="8" spans="1:9" x14ac:dyDescent="0.25">
      <c r="A8" s="1">
        <v>7</v>
      </c>
      <c r="B8" s="2" t="s">
        <v>15</v>
      </c>
      <c r="C8" s="3">
        <v>65</v>
      </c>
      <c r="D8" s="3">
        <v>70</v>
      </c>
      <c r="E8" s="3">
        <v>68</v>
      </c>
      <c r="F8" s="3">
        <f t="shared" si="0"/>
        <v>203</v>
      </c>
      <c r="G8" s="3">
        <f t="shared" si="1"/>
        <v>67.666666666666671</v>
      </c>
      <c r="H8" s="1">
        <f t="shared" si="2"/>
        <v>3</v>
      </c>
      <c r="I8" s="1">
        <f t="shared" si="3"/>
        <v>12</v>
      </c>
    </row>
    <row r="9" spans="1:9" x14ac:dyDescent="0.25">
      <c r="A9" s="1">
        <v>8</v>
      </c>
      <c r="B9" s="2" t="s">
        <v>16</v>
      </c>
      <c r="C9" s="3">
        <v>92</v>
      </c>
      <c r="D9" s="3">
        <v>85</v>
      </c>
      <c r="E9" s="3">
        <v>88</v>
      </c>
      <c r="F9" s="3">
        <f t="shared" si="0"/>
        <v>265</v>
      </c>
      <c r="G9" s="3">
        <f t="shared" si="1"/>
        <v>88.333333333333329</v>
      </c>
      <c r="H9" s="1">
        <f t="shared" si="2"/>
        <v>4</v>
      </c>
      <c r="I9" s="1">
        <f t="shared" si="3"/>
        <v>5</v>
      </c>
    </row>
    <row r="10" spans="1:9" x14ac:dyDescent="0.25">
      <c r="A10" s="1">
        <v>9</v>
      </c>
      <c r="B10" s="2" t="s">
        <v>17</v>
      </c>
      <c r="C10" s="3">
        <v>55</v>
      </c>
      <c r="D10" s="3">
        <v>60</v>
      </c>
      <c r="E10" s="3">
        <v>58</v>
      </c>
      <c r="F10" s="3">
        <f t="shared" si="0"/>
        <v>173</v>
      </c>
      <c r="G10" s="3">
        <f t="shared" si="1"/>
        <v>57.666666666666664</v>
      </c>
      <c r="H10" s="1">
        <f t="shared" si="2"/>
        <v>2</v>
      </c>
      <c r="I10" s="1">
        <f t="shared" si="3"/>
        <v>15</v>
      </c>
    </row>
    <row r="11" spans="1:9" x14ac:dyDescent="0.25">
      <c r="A11" s="1">
        <v>10</v>
      </c>
      <c r="B11" s="2" t="s">
        <v>18</v>
      </c>
      <c r="C11" s="3">
        <v>80</v>
      </c>
      <c r="D11" s="3">
        <v>75</v>
      </c>
      <c r="E11" s="3">
        <v>82</v>
      </c>
      <c r="F11" s="3">
        <f t="shared" si="0"/>
        <v>237</v>
      </c>
      <c r="G11" s="3">
        <f t="shared" si="1"/>
        <v>79</v>
      </c>
      <c r="H11" s="1">
        <f t="shared" si="2"/>
        <v>4</v>
      </c>
      <c r="I11" s="1">
        <f t="shared" si="3"/>
        <v>8</v>
      </c>
    </row>
    <row r="12" spans="1:9" x14ac:dyDescent="0.25">
      <c r="A12" s="1">
        <v>11</v>
      </c>
      <c r="B12" s="2" t="s">
        <v>19</v>
      </c>
      <c r="C12" s="3">
        <v>70</v>
      </c>
      <c r="D12" s="3">
        <v>68</v>
      </c>
      <c r="E12" s="3">
        <v>72</v>
      </c>
      <c r="F12" s="3">
        <f t="shared" si="0"/>
        <v>210</v>
      </c>
      <c r="G12" s="3">
        <f t="shared" si="1"/>
        <v>70</v>
      </c>
      <c r="H12" s="1">
        <f t="shared" si="2"/>
        <v>3</v>
      </c>
      <c r="I12" s="1">
        <f t="shared" si="3"/>
        <v>11</v>
      </c>
    </row>
    <row r="13" spans="1:9" x14ac:dyDescent="0.25">
      <c r="A13" s="1">
        <v>12</v>
      </c>
      <c r="B13" s="2" t="s">
        <v>20</v>
      </c>
      <c r="C13" s="3">
        <v>90</v>
      </c>
      <c r="D13" s="3">
        <v>92</v>
      </c>
      <c r="E13" s="3">
        <v>94</v>
      </c>
      <c r="F13" s="3">
        <f t="shared" si="0"/>
        <v>276</v>
      </c>
      <c r="G13" s="3">
        <f t="shared" si="1"/>
        <v>92</v>
      </c>
      <c r="H13" s="1">
        <f t="shared" si="2"/>
        <v>5</v>
      </c>
      <c r="I13" s="1">
        <f t="shared" si="3"/>
        <v>3</v>
      </c>
    </row>
    <row r="14" spans="1:9" x14ac:dyDescent="0.25">
      <c r="A14" s="1">
        <v>13</v>
      </c>
      <c r="B14" s="2" t="s">
        <v>21</v>
      </c>
      <c r="C14" s="3">
        <v>75</v>
      </c>
      <c r="D14" s="3">
        <v>78</v>
      </c>
      <c r="E14" s="3">
        <v>80</v>
      </c>
      <c r="F14" s="3">
        <f t="shared" si="0"/>
        <v>233</v>
      </c>
      <c r="G14" s="3">
        <f t="shared" si="1"/>
        <v>77.666666666666671</v>
      </c>
      <c r="H14" s="1">
        <f t="shared" si="2"/>
        <v>4</v>
      </c>
      <c r="I14" s="1">
        <f t="shared" si="3"/>
        <v>9</v>
      </c>
    </row>
    <row r="15" spans="1:9" x14ac:dyDescent="0.25">
      <c r="A15" s="1">
        <v>14</v>
      </c>
      <c r="B15" s="2" t="s">
        <v>22</v>
      </c>
      <c r="C15" s="3">
        <v>62</v>
      </c>
      <c r="D15" s="3">
        <v>58</v>
      </c>
      <c r="E15" s="3">
        <v>65</v>
      </c>
      <c r="F15" s="3">
        <f t="shared" si="0"/>
        <v>185</v>
      </c>
      <c r="G15" s="3">
        <f t="shared" si="1"/>
        <v>61.666666666666664</v>
      </c>
      <c r="H15" s="1">
        <f t="shared" si="2"/>
        <v>3</v>
      </c>
      <c r="I15" s="1">
        <f t="shared" si="3"/>
        <v>14</v>
      </c>
    </row>
    <row r="16" spans="1:9" x14ac:dyDescent="0.25">
      <c r="A16" s="1">
        <v>15</v>
      </c>
      <c r="B16" s="2" t="s">
        <v>23</v>
      </c>
      <c r="C16" s="3">
        <v>98</v>
      </c>
      <c r="D16" s="3">
        <v>95</v>
      </c>
      <c r="E16" s="3">
        <v>100</v>
      </c>
      <c r="F16" s="3">
        <f t="shared" si="0"/>
        <v>293</v>
      </c>
      <c r="G16" s="3">
        <f t="shared" si="1"/>
        <v>97.666666666666671</v>
      </c>
      <c r="H16" s="1">
        <f t="shared" si="2"/>
        <v>5</v>
      </c>
      <c r="I16" s="1">
        <f t="shared" si="3"/>
        <v>1</v>
      </c>
    </row>
    <row r="17" spans="2:7" x14ac:dyDescent="0.25">
      <c r="B17" s="4" t="s">
        <v>24</v>
      </c>
      <c r="C17" s="5">
        <f>SUM(C2:C16)</f>
        <v>1170</v>
      </c>
      <c r="D17" s="5">
        <f>SUM(D2:D16)</f>
        <v>1139</v>
      </c>
      <c r="E17" s="5">
        <f>SUM(E2:E16)</f>
        <v>1227</v>
      </c>
      <c r="F17" s="5">
        <f>SUM(F2:F16)</f>
        <v>3536</v>
      </c>
      <c r="G17" s="5">
        <f>SUM(G2:G16)</f>
        <v>1178.6666666666667</v>
      </c>
    </row>
    <row r="18" spans="2:7" x14ac:dyDescent="0.25">
      <c r="B18" s="4" t="s">
        <v>25</v>
      </c>
      <c r="C18" s="5">
        <f>AVERAGE(C2:C16)</f>
        <v>78</v>
      </c>
      <c r="D18" s="5">
        <f>AVERAGE(D2:D16)</f>
        <v>75.933333333333337</v>
      </c>
      <c r="E18" s="5">
        <f>AVERAGE(E2:E16)</f>
        <v>81.8</v>
      </c>
      <c r="F18" s="5">
        <f>AVERAGE(F2:F16)</f>
        <v>235.73333333333332</v>
      </c>
      <c r="G18" s="5">
        <f>AVERAGE(G2:G16)</f>
        <v>78.577777777777783</v>
      </c>
    </row>
    <row r="19" spans="2:7" x14ac:dyDescent="0.25">
      <c r="B19" s="4" t="s">
        <v>26</v>
      </c>
      <c r="C19" s="5">
        <f>MEDIAN(C2:C16)</f>
        <v>78</v>
      </c>
      <c r="D19" s="5">
        <f>MEDIAN(D2:D16)</f>
        <v>78</v>
      </c>
      <c r="E19" s="5">
        <f>MEDIAN(E2:E16)</f>
        <v>82</v>
      </c>
      <c r="F19" s="5">
        <f>MEDIAN(F2:F16)</f>
        <v>237</v>
      </c>
      <c r="G19" s="5">
        <f>MEDIAN(G2:G16)</f>
        <v>79</v>
      </c>
    </row>
    <row r="20" spans="2:7" x14ac:dyDescent="0.25">
      <c r="B20" s="4" t="s">
        <v>27</v>
      </c>
      <c r="C20" s="5">
        <f t="shared" ref="C20:E20" si="4">IFERROR(_xlfn.MODE.SNGL(C2:C16), "Нет повторов")</f>
        <v>65</v>
      </c>
      <c r="D20" s="5">
        <f t="shared" si="4"/>
        <v>78</v>
      </c>
      <c r="E20" s="5">
        <f t="shared" si="4"/>
        <v>80</v>
      </c>
      <c r="F20" s="5" t="str">
        <f>IFERROR(_xlfn.MODE.SNGL(F2:F16), "Нет повторов")</f>
        <v>Нет повторов</v>
      </c>
      <c r="G20" s="5" t="str">
        <f>IFERROR(_xlfn.MODE.SNGL(G2:G16), "Нет повторов")</f>
        <v>Нет повторов</v>
      </c>
    </row>
    <row r="21" spans="2:7" x14ac:dyDescent="0.25">
      <c r="B21" s="4" t="s">
        <v>28</v>
      </c>
      <c r="C21" s="5">
        <f>MIN(C2:C16)</f>
        <v>55</v>
      </c>
      <c r="D21" s="5">
        <f>MIN(D2:D16)</f>
        <v>55</v>
      </c>
      <c r="E21" s="5">
        <f>MIN(E2:E16)</f>
        <v>58</v>
      </c>
      <c r="F21" s="5">
        <f>MIN(F2:F16)</f>
        <v>173</v>
      </c>
      <c r="G21" s="5">
        <f>MIN(G2:G16)</f>
        <v>57.666666666666664</v>
      </c>
    </row>
    <row r="22" spans="2:7" x14ac:dyDescent="0.25">
      <c r="B22" s="4" t="s">
        <v>29</v>
      </c>
      <c r="C22" s="5">
        <f>MAX(C2:C16)</f>
        <v>98</v>
      </c>
      <c r="D22" s="5">
        <f>MAX(D2:D16)</f>
        <v>95</v>
      </c>
      <c r="E22" s="5">
        <f>MAX(E2:E16)</f>
        <v>100</v>
      </c>
      <c r="F22" s="5">
        <f>MAX(F2:F16)</f>
        <v>293</v>
      </c>
      <c r="G22" s="5">
        <f>MAX(G2:G16)</f>
        <v>97.666666666666671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2026-09-30T10:25:26Z</dcterms:created>
  <dcterms:modified xsi:type="dcterms:W3CDTF">2026-09-30T10:32:30Z</dcterms:modified>
</cp:coreProperties>
</file>